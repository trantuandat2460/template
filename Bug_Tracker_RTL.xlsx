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hainn36\Downloads\"/>
    </mc:Choice>
  </mc:AlternateContent>
  <bookViews>
    <workbookView xWindow="0" yWindow="0" windowWidth="28800" windowHeight="10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I6" i="1"/>
  <c r="H6" i="1"/>
  <c r="G6" i="1"/>
  <c r="F6" i="1"/>
  <c r="E6" i="1"/>
  <c r="D6" i="1"/>
  <c r="C6" i="1"/>
  <c r="B6" i="1"/>
  <c r="K6" i="1" l="1"/>
</calcChain>
</file>

<file path=xl/sharedStrings.xml><?xml version="1.0" encoding="utf-8"?>
<sst xmlns="http://schemas.openxmlformats.org/spreadsheetml/2006/main" count="37" uniqueCount="34">
  <si>
    <t>Tổng số lỗi</t>
  </si>
  <si>
    <t>Critical</t>
  </si>
  <si>
    <t>High</t>
  </si>
  <si>
    <t>Medium</t>
  </si>
  <si>
    <t>Low</t>
  </si>
  <si>
    <t>Open</t>
  </si>
  <si>
    <t>Fixed</t>
  </si>
  <si>
    <t>Verified</t>
  </si>
  <si>
    <t>Closed</t>
  </si>
  <si>
    <t>% Đã đóng</t>
  </si>
  <si>
    <t>Mã lỗi</t>
  </si>
  <si>
    <t>Tóm tắt</t>
  </si>
  <si>
    <t>Module / Khối</t>
  </si>
  <si>
    <t>Ngày báo cáo</t>
  </si>
  <si>
    <t>Mức độ</t>
  </si>
  <si>
    <t>Trạng thái</t>
  </si>
  <si>
    <t>Loại lỗi</t>
  </si>
  <si>
    <t>Người phụ trách</t>
  </si>
  <si>
    <t>Ngày sửa</t>
  </si>
  <si>
    <t>Người kiểm chứng</t>
  </si>
  <si>
    <t>Ghi chú</t>
  </si>
  <si>
    <t>Functional</t>
  </si>
  <si>
    <t>BUG-ROT-001</t>
  </si>
  <si>
    <t>BUG-ROT-002</t>
  </si>
  <si>
    <t>New</t>
  </si>
  <si>
    <t>Giá trị reset đưa vào module TLDebugModule có giá trị x</t>
  </si>
  <si>
    <t>TLDebugModule</t>
  </si>
  <si>
    <t>23/06/2026</t>
  </si>
  <si>
    <t>Reset</t>
  </si>
  <si>
    <t>hainn36</t>
  </si>
  <si>
    <t>datnt554</t>
  </si>
  <si>
    <t>DV BUG TRACKER  ·  PROJECT: ROT</t>
  </si>
  <si>
    <t>IbexCorev4_2_ViettelIbexTile</t>
  </si>
  <si>
    <t xml:space="preserve">Giá trị boot_addr_i được gán misalign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</si>
</sst>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6"/>
      <color rgb="FF1A3A6B"/>
      <name val="Arial"/>
      <charset val="1"/>
    </font>
    <font>
      <b/>
      <sz val="9"/>
      <color rgb="FFFFFFFF"/>
      <name val="Arial"/>
      <charset val="1"/>
    </font>
    <font>
      <b/>
      <sz val="11"/>
      <color rgb="FF1A3A6B"/>
      <name val="Arial"/>
      <charset val="1"/>
    </font>
    <font>
      <sz val="9"/>
      <color rgb="FF000000"/>
      <name val="Calibri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8273A"/>
        <bgColor rgb="FFC0392B"/>
      </patternFill>
    </fill>
    <fill>
      <patternFill patternType="solid">
        <fgColor rgb="FF1A3A6B"/>
        <bgColor rgb="FF333399"/>
      </patternFill>
    </fill>
    <fill>
      <patternFill patternType="solid">
        <fgColor rgb="FFFFFFFF"/>
        <bgColor rgb="FFF9FFF9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D6EAF8"/>
      </patternFill>
    </fill>
    <fill>
      <patternFill patternType="solid">
        <fgColor rgb="FFD6E4F0"/>
        <bgColor rgb="FFD6EAF8"/>
      </patternFill>
    </fill>
    <fill>
      <patternFill patternType="solid">
        <fgColor rgb="FFFADBD8"/>
        <bgColor rgb="FFFADBD8"/>
      </patternFill>
    </fill>
    <fill>
      <patternFill patternType="solid">
        <fgColor rgb="FFF5F8FC"/>
        <bgColor rgb="FFF5F5F5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/>
    </xf>
    <xf numFmtId="3" fontId="3" fillId="6" borderId="2" xfId="0" applyNumberFormat="1" applyFont="1" applyFill="1" applyBorder="1" applyAlignment="1">
      <alignment horizontal="center" vertical="center"/>
    </xf>
    <xf numFmtId="3" fontId="3" fillId="7" borderId="2" xfId="0" applyNumberFormat="1" applyFont="1" applyFill="1" applyBorder="1" applyAlignment="1">
      <alignment horizontal="center" vertical="center"/>
    </xf>
    <xf numFmtId="3" fontId="3" fillId="8" borderId="2" xfId="0" applyNumberFormat="1" applyFont="1" applyFill="1" applyBorder="1" applyAlignment="1">
      <alignment horizontal="center" vertical="center"/>
    </xf>
    <xf numFmtId="164" fontId="3" fillId="9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wrapText="1"/>
    </xf>
    <xf numFmtId="0" fontId="0" fillId="10" borderId="2" xfId="0" applyFill="1" applyBorder="1" applyAlignment="1">
      <alignment wrapText="1"/>
    </xf>
    <xf numFmtId="0" fontId="0" fillId="11" borderId="2" xfId="0" applyFill="1" applyBorder="1"/>
    <xf numFmtId="0" fontId="0" fillId="4" borderId="2" xfId="0" applyFill="1" applyBorder="1"/>
    <xf numFmtId="0" fontId="5" fillId="4" borderId="2" xfId="0" applyFont="1" applyFill="1" applyBorder="1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  <xf numFmtId="0" fontId="5" fillId="4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G15" sqref="G15"/>
    </sheetView>
  </sheetViews>
  <sheetFormatPr defaultColWidth="8.7109375" defaultRowHeight="15" x14ac:dyDescent="0.25"/>
  <cols>
    <col min="1" max="1" width="14.7109375" customWidth="1"/>
    <col min="2" max="2" width="30" customWidth="1"/>
    <col min="3" max="3" width="28.28515625" customWidth="1"/>
    <col min="4" max="4" width="14" customWidth="1"/>
    <col min="5" max="5" width="12" customWidth="1"/>
    <col min="6" max="7" width="14" customWidth="1"/>
    <col min="8" max="8" width="20" customWidth="1"/>
    <col min="9" max="10" width="16" customWidth="1"/>
    <col min="11" max="11" width="23.5703125" customWidth="1"/>
    <col min="12" max="12" width="24" customWidth="1"/>
  </cols>
  <sheetData>
    <row r="1" spans="1:12" ht="7.5" customHeight="1" x14ac:dyDescent="0.25"/>
    <row r="2" spans="1:12" ht="20.25" x14ac:dyDescent="0.25">
      <c r="A2" s="15" t="s">
        <v>31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3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7.5" customHeight="1" x14ac:dyDescent="0.25"/>
    <row r="5" spans="1:12" x14ac:dyDescent="0.25"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</row>
    <row r="6" spans="1:12" ht="21.75" customHeight="1" x14ac:dyDescent="0.25">
      <c r="B6" s="4">
        <f>COUNTA(A10:A196)</f>
        <v>2</v>
      </c>
      <c r="C6" s="5">
        <f>COUNTIF(E10:E196,"Critical")</f>
        <v>2</v>
      </c>
      <c r="D6" s="6">
        <f>COUNTIF(E10:E196,"High")</f>
        <v>0</v>
      </c>
      <c r="E6" s="7">
        <f>COUNTIF(E10:E196,"Medium")</f>
        <v>0</v>
      </c>
      <c r="F6" s="8">
        <f>COUNTIF(E10:E196,"Low")</f>
        <v>0</v>
      </c>
      <c r="G6" s="5">
        <f>COUNTIF(F10:F196,"Open")+COUNTIF(F10:F196,"New")</f>
        <v>2</v>
      </c>
      <c r="H6" s="8">
        <f>COUNTIF(F10:F196,"Fixed")</f>
        <v>0</v>
      </c>
      <c r="I6" s="7">
        <f>COUNTIF(F10:F196,"Verified")</f>
        <v>0</v>
      </c>
      <c r="J6" s="8">
        <f>COUNTIF(F10:F196,"Closed")</f>
        <v>0</v>
      </c>
      <c r="K6" s="9">
        <f>IFERROR(J6/B6,0)</f>
        <v>0</v>
      </c>
    </row>
    <row r="7" spans="1:12" ht="3.75" customHeight="1" x14ac:dyDescent="0.25"/>
    <row r="8" spans="1:12" ht="7.5" customHeight="1" x14ac:dyDescent="0.25"/>
    <row r="9" spans="1:12" ht="21.75" customHeight="1" x14ac:dyDescent="0.25">
      <c r="A9" s="3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19</v>
      </c>
      <c r="K9" s="3" t="s">
        <v>20</v>
      </c>
    </row>
    <row r="10" spans="1:12" ht="30.75" customHeight="1" x14ac:dyDescent="0.25">
      <c r="A10" s="14" t="s">
        <v>22</v>
      </c>
      <c r="B10" s="17" t="s">
        <v>33</v>
      </c>
      <c r="C10" s="1" t="s">
        <v>32</v>
      </c>
      <c r="D10" s="18">
        <v>46362</v>
      </c>
      <c r="E10" s="11" t="s">
        <v>1</v>
      </c>
      <c r="F10" s="11" t="s">
        <v>24</v>
      </c>
      <c r="G10" s="14" t="s">
        <v>21</v>
      </c>
      <c r="H10" s="14"/>
      <c r="I10" s="14"/>
      <c r="J10" s="14" t="s">
        <v>30</v>
      </c>
      <c r="K10" s="10"/>
    </row>
    <row r="11" spans="1:12" ht="34.5" customHeight="1" x14ac:dyDescent="0.25">
      <c r="A11" s="14" t="s">
        <v>23</v>
      </c>
      <c r="B11" s="14" t="s">
        <v>25</v>
      </c>
      <c r="C11" s="14" t="s">
        <v>26</v>
      </c>
      <c r="D11" s="19" t="s">
        <v>27</v>
      </c>
      <c r="E11" s="12" t="s">
        <v>1</v>
      </c>
      <c r="F11" s="12" t="s">
        <v>24</v>
      </c>
      <c r="G11" s="12" t="s">
        <v>28</v>
      </c>
      <c r="H11" s="12"/>
      <c r="I11" s="12"/>
      <c r="J11" s="12" t="s">
        <v>29</v>
      </c>
      <c r="K11" s="12"/>
    </row>
    <row r="12" spans="1:12" ht="19.5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2" ht="19.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2" ht="19.5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2" ht="19.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2" ht="19.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9.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ht="19.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9.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 ht="19.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9.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19.5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9.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ht="19.5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9.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 ht="19.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9.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 ht="19.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9.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</sheetData>
  <mergeCells count="1">
    <mergeCell ref="A2:L2"/>
  </mergeCells>
  <dataValidations count="3">
    <dataValidation type="list" allowBlank="1" sqref="G10:G196">
      <formula1>"Functional,Timing,Reset,Protocol,Coverage,Simulation,CDC,Other"</formula1>
      <formula2>0</formula2>
    </dataValidation>
    <dataValidation type="list" allowBlank="1" sqref="F10:F196">
      <formula1>"New,Open,In-Progress,Fixed,Verified,Closed,Wont Fix"</formula1>
      <formula2>0</formula2>
    </dataValidation>
    <dataValidation type="list" allowBlank="1" sqref="E10:E196">
      <formula1>"Critical,High,Medium,Low,Enhancement"</formula1>
      <formula2>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hainn36</dc:creator>
  <cp:lastModifiedBy>hainn36</cp:lastModifiedBy>
  <dcterms:created xsi:type="dcterms:W3CDTF">2026-06-23T08:39:54Z</dcterms:created>
  <dcterms:modified xsi:type="dcterms:W3CDTF">2026-06-24T08:26:31Z</dcterms:modified>
</cp:coreProperties>
</file>